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on" sheetId="1" state="visible" r:id="rId1"/>
    <sheet name="Newton-Raphson" sheetId="2" state="visible" r:id="rId2"/>
    <sheet name="Secante" sheetId="3" state="visible" r:id="rId3"/>
    <sheet name="Punto Fij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Tolerancia</t>
        </is>
      </c>
      <c r="B1" t="n">
        <v>1e-06</v>
      </c>
    </row>
    <row r="5">
      <c r="A5" s="1" t="inlineStr">
        <is>
          <t>Iter</t>
        </is>
      </c>
      <c r="B5" s="1" t="inlineStr">
        <is>
          <t>a</t>
        </is>
      </c>
      <c r="C5" s="1" t="inlineStr">
        <is>
          <t>b</t>
        </is>
      </c>
      <c r="D5" s="1" t="inlineStr">
        <is>
          <t>f(a)</t>
        </is>
      </c>
      <c r="E5" s="1" t="inlineStr">
        <is>
          <t>f(b)</t>
        </is>
      </c>
      <c r="F5" s="1" t="inlineStr">
        <is>
          <t>m</t>
        </is>
      </c>
      <c r="G5" s="1" t="inlineStr">
        <is>
          <t>f(m)</t>
        </is>
      </c>
      <c r="H5" s="1" t="inlineStr">
        <is>
          <t>Intervalo</t>
        </is>
      </c>
      <c r="I5" s="1" t="inlineStr">
        <is>
          <t>Error</t>
        </is>
      </c>
      <c r="J5" s="1" t="inlineStr">
        <is>
          <t>Condicion</t>
        </is>
      </c>
    </row>
    <row r="6">
      <c r="A6" t="n">
        <v>0</v>
      </c>
      <c r="B6" t="n">
        <v>-1</v>
      </c>
      <c r="C6" t="n">
        <v>1</v>
      </c>
      <c r="D6">
        <f>EXP(B6)-COS(B6)</f>
        <v/>
      </c>
      <c r="E6">
        <f>EXP(C6)-COS(C6)</f>
        <v/>
      </c>
      <c r="F6">
        <f>(B6+C6)/2</f>
        <v/>
      </c>
      <c r="G6">
        <f>EXP(F6)-COS(F6)</f>
        <v/>
      </c>
      <c r="H6">
        <f>C6-B6</f>
        <v/>
      </c>
      <c r="I6">
        <f>ABS(H6)/2</f>
        <v/>
      </c>
      <c r="J6">
        <f>IF(I6&lt;=$B$1,"Cumple","Continuar")</f>
        <v/>
      </c>
    </row>
    <row r="7">
      <c r="A7">
        <f>A6+1</f>
        <v/>
      </c>
      <c r="B7">
        <f>IF(OR(ABS(G6)&lt;=$B$1,I6&lt;=$B$1),B6,IF(D6*G6&lt;0,B6,F6))</f>
        <v/>
      </c>
      <c r="C7">
        <f>IF(OR(ABS(G6)&lt;=$B$1,I6&lt;=$B$1),C6,IF(D6*G6&lt;0,F6,C6))</f>
        <v/>
      </c>
      <c r="D7">
        <f>EXP(B7)-COS(B7)</f>
        <v/>
      </c>
      <c r="E7">
        <f>EXP(C7)-COS(C7)</f>
        <v/>
      </c>
      <c r="F7">
        <f>(B7+C7)/2</f>
        <v/>
      </c>
      <c r="G7">
        <f>EXP(F7)-COS(F7)</f>
        <v/>
      </c>
      <c r="H7">
        <f>C7-B7</f>
        <v/>
      </c>
      <c r="I7">
        <f>ABS(H7)/2</f>
        <v/>
      </c>
      <c r="J7">
        <f>IF(I7&lt;=$B$1,"Cumple","Continuar")</f>
        <v/>
      </c>
    </row>
    <row r="8">
      <c r="A8">
        <f>A7+1</f>
        <v/>
      </c>
      <c r="B8">
        <f>IF(OR(ABS(G7)&lt;=$B$1,I7&lt;=$B$1),B7,IF(D7*G7&lt;0,B7,F7))</f>
        <v/>
      </c>
      <c r="C8">
        <f>IF(OR(ABS(G7)&lt;=$B$1,I7&lt;=$B$1),C7,IF(D7*G7&lt;0,F7,C7))</f>
        <v/>
      </c>
      <c r="D8">
        <f>EXP(B8)-COS(B8)</f>
        <v/>
      </c>
      <c r="E8">
        <f>EXP(C8)-COS(C8)</f>
        <v/>
      </c>
      <c r="F8">
        <f>(B8+C8)/2</f>
        <v/>
      </c>
      <c r="G8">
        <f>EXP(F8)-COS(F8)</f>
        <v/>
      </c>
      <c r="H8">
        <f>C8-B8</f>
        <v/>
      </c>
      <c r="I8">
        <f>ABS(H8)/2</f>
        <v/>
      </c>
      <c r="J8">
        <f>IF(I8&lt;=$B$1,"Cumple","Continuar")</f>
        <v/>
      </c>
    </row>
    <row r="9">
      <c r="A9">
        <f>A8+1</f>
        <v/>
      </c>
      <c r="B9">
        <f>IF(OR(ABS(G8)&lt;=$B$1,I8&lt;=$B$1),B8,IF(D8*G8&lt;0,B8,F8))</f>
        <v/>
      </c>
      <c r="C9">
        <f>IF(OR(ABS(G8)&lt;=$B$1,I8&lt;=$B$1),C8,IF(D8*G8&lt;0,F8,C8))</f>
        <v/>
      </c>
      <c r="D9">
        <f>EXP(B9)-COS(B9)</f>
        <v/>
      </c>
      <c r="E9">
        <f>EXP(C9)-COS(C9)</f>
        <v/>
      </c>
      <c r="F9">
        <f>(B9+C9)/2</f>
        <v/>
      </c>
      <c r="G9">
        <f>EXP(F9)-COS(F9)</f>
        <v/>
      </c>
      <c r="H9">
        <f>C9-B9</f>
        <v/>
      </c>
      <c r="I9">
        <f>ABS(H9)/2</f>
        <v/>
      </c>
      <c r="J9">
        <f>IF(I9&lt;=$B$1,"Cumple","Continuar")</f>
        <v/>
      </c>
    </row>
    <row r="10">
      <c r="A10">
        <f>A9+1</f>
        <v/>
      </c>
      <c r="B10">
        <f>IF(OR(ABS(G9)&lt;=$B$1,I9&lt;=$B$1),B9,IF(D9*G9&lt;0,B9,F9))</f>
        <v/>
      </c>
      <c r="C10">
        <f>IF(OR(ABS(G9)&lt;=$B$1,I9&lt;=$B$1),C9,IF(D9*G9&lt;0,F9,C9))</f>
        <v/>
      </c>
      <c r="D10">
        <f>EXP(B10)-COS(B10)</f>
        <v/>
      </c>
      <c r="E10">
        <f>EXP(C10)-COS(C10)</f>
        <v/>
      </c>
      <c r="F10">
        <f>(B10+C10)/2</f>
        <v/>
      </c>
      <c r="G10">
        <f>EXP(F10)-COS(F10)</f>
        <v/>
      </c>
      <c r="H10">
        <f>C10-B10</f>
        <v/>
      </c>
      <c r="I10">
        <f>ABS(H10)/2</f>
        <v/>
      </c>
      <c r="J10">
        <f>IF(I10&lt;=$B$1,"Cumple","Continuar")</f>
        <v/>
      </c>
    </row>
    <row r="11">
      <c r="A11">
        <f>A10+1</f>
        <v/>
      </c>
      <c r="B11">
        <f>IF(OR(ABS(G10)&lt;=$B$1,I10&lt;=$B$1),B10,IF(D10*G10&lt;0,B10,F10))</f>
        <v/>
      </c>
      <c r="C11">
        <f>IF(OR(ABS(G10)&lt;=$B$1,I10&lt;=$B$1),C10,IF(D10*G10&lt;0,F10,C10))</f>
        <v/>
      </c>
      <c r="D11">
        <f>EXP(B11)-COS(B11)</f>
        <v/>
      </c>
      <c r="E11">
        <f>EXP(C11)-COS(C11)</f>
        <v/>
      </c>
      <c r="F11">
        <f>(B11+C11)/2</f>
        <v/>
      </c>
      <c r="G11">
        <f>EXP(F11)-COS(F11)</f>
        <v/>
      </c>
      <c r="H11">
        <f>C11-B11</f>
        <v/>
      </c>
      <c r="I11">
        <f>ABS(H11)/2</f>
        <v/>
      </c>
      <c r="J11">
        <f>IF(I11&lt;=$B$1,"Cumple","Continuar")</f>
        <v/>
      </c>
    </row>
    <row r="12">
      <c r="A12">
        <f>A11+1</f>
        <v/>
      </c>
      <c r="B12">
        <f>IF(OR(ABS(G11)&lt;=$B$1,I11&lt;=$B$1),B11,IF(D11*G11&lt;0,B11,F11))</f>
        <v/>
      </c>
      <c r="C12">
        <f>IF(OR(ABS(G11)&lt;=$B$1,I11&lt;=$B$1),C11,IF(D11*G11&lt;0,F11,C11))</f>
        <v/>
      </c>
      <c r="D12">
        <f>EXP(B12)-COS(B12)</f>
        <v/>
      </c>
      <c r="E12">
        <f>EXP(C12)-COS(C12)</f>
        <v/>
      </c>
      <c r="F12">
        <f>(B12+C12)/2</f>
        <v/>
      </c>
      <c r="G12">
        <f>EXP(F12)-COS(F12)</f>
        <v/>
      </c>
      <c r="H12">
        <f>C12-B12</f>
        <v/>
      </c>
      <c r="I12">
        <f>ABS(H12)/2</f>
        <v/>
      </c>
      <c r="J12">
        <f>IF(I12&lt;=$B$1,"Cumple","Continuar")</f>
        <v/>
      </c>
    </row>
    <row r="13">
      <c r="A13">
        <f>A12+1</f>
        <v/>
      </c>
      <c r="B13">
        <f>IF(OR(ABS(G12)&lt;=$B$1,I12&lt;=$B$1),B12,IF(D12*G12&lt;0,B12,F12))</f>
        <v/>
      </c>
      <c r="C13">
        <f>IF(OR(ABS(G12)&lt;=$B$1,I12&lt;=$B$1),C12,IF(D12*G12&lt;0,F12,C12))</f>
        <v/>
      </c>
      <c r="D13">
        <f>EXP(B13)-COS(B13)</f>
        <v/>
      </c>
      <c r="E13">
        <f>EXP(C13)-COS(C13)</f>
        <v/>
      </c>
      <c r="F13">
        <f>(B13+C13)/2</f>
        <v/>
      </c>
      <c r="G13">
        <f>EXP(F13)-COS(F13)</f>
        <v/>
      </c>
      <c r="H13">
        <f>C13-B13</f>
        <v/>
      </c>
      <c r="I13">
        <f>ABS(H13)/2</f>
        <v/>
      </c>
      <c r="J13">
        <f>IF(I13&lt;=$B$1,"Cumple","Continuar")</f>
        <v/>
      </c>
    </row>
    <row r="14">
      <c r="A14">
        <f>A13+1</f>
        <v/>
      </c>
      <c r="B14">
        <f>IF(OR(ABS(G13)&lt;=$B$1,I13&lt;=$B$1),B13,IF(D13*G13&lt;0,B13,F13))</f>
        <v/>
      </c>
      <c r="C14">
        <f>IF(OR(ABS(G13)&lt;=$B$1,I13&lt;=$B$1),C13,IF(D13*G13&lt;0,F13,C13))</f>
        <v/>
      </c>
      <c r="D14">
        <f>EXP(B14)-COS(B14)</f>
        <v/>
      </c>
      <c r="E14">
        <f>EXP(C14)-COS(C14)</f>
        <v/>
      </c>
      <c r="F14">
        <f>(B14+C14)/2</f>
        <v/>
      </c>
      <c r="G14">
        <f>EXP(F14)-COS(F14)</f>
        <v/>
      </c>
      <c r="H14">
        <f>C14-B14</f>
        <v/>
      </c>
      <c r="I14">
        <f>ABS(H14)/2</f>
        <v/>
      </c>
      <c r="J14">
        <f>IF(I14&lt;=$B$1,"Cumple","Continuar")</f>
        <v/>
      </c>
    </row>
    <row r="15">
      <c r="A15">
        <f>A14+1</f>
        <v/>
      </c>
      <c r="B15">
        <f>IF(OR(ABS(G14)&lt;=$B$1,I14&lt;=$B$1),B14,IF(D14*G14&lt;0,B14,F14))</f>
        <v/>
      </c>
      <c r="C15">
        <f>IF(OR(ABS(G14)&lt;=$B$1,I14&lt;=$B$1),C14,IF(D14*G14&lt;0,F14,C14))</f>
        <v/>
      </c>
      <c r="D15">
        <f>EXP(B15)-COS(B15)</f>
        <v/>
      </c>
      <c r="E15">
        <f>EXP(C15)-COS(C15)</f>
        <v/>
      </c>
      <c r="F15">
        <f>(B15+C15)/2</f>
        <v/>
      </c>
      <c r="G15">
        <f>EXP(F15)-COS(F15)</f>
        <v/>
      </c>
      <c r="H15">
        <f>C15-B15</f>
        <v/>
      </c>
      <c r="I15">
        <f>ABS(H15)/2</f>
        <v/>
      </c>
      <c r="J15">
        <f>IF(I15&lt;=$B$1,"Cumple","Continuar")</f>
        <v/>
      </c>
    </row>
    <row r="16">
      <c r="A16">
        <f>A15+1</f>
        <v/>
      </c>
      <c r="B16">
        <f>IF(OR(ABS(G15)&lt;=$B$1,I15&lt;=$B$1),B15,IF(D15*G15&lt;0,B15,F15))</f>
        <v/>
      </c>
      <c r="C16">
        <f>IF(OR(ABS(G15)&lt;=$B$1,I15&lt;=$B$1),C15,IF(D15*G15&lt;0,F15,C15))</f>
        <v/>
      </c>
      <c r="D16">
        <f>EXP(B16)-COS(B16)</f>
        <v/>
      </c>
      <c r="E16">
        <f>EXP(C16)-COS(C16)</f>
        <v/>
      </c>
      <c r="F16">
        <f>(B16+C16)/2</f>
        <v/>
      </c>
      <c r="G16">
        <f>EXP(F16)-COS(F16)</f>
        <v/>
      </c>
      <c r="H16">
        <f>C16-B16</f>
        <v/>
      </c>
      <c r="I16">
        <f>ABS(H16)/2</f>
        <v/>
      </c>
      <c r="J16">
        <f>IF(I16&lt;=$B$1,"Cumple","Continuar")</f>
        <v/>
      </c>
    </row>
    <row r="17">
      <c r="A17">
        <f>A16+1</f>
        <v/>
      </c>
      <c r="B17">
        <f>IF(OR(ABS(G16)&lt;=$B$1,I16&lt;=$B$1),B16,IF(D16*G16&lt;0,B16,F16))</f>
        <v/>
      </c>
      <c r="C17">
        <f>IF(OR(ABS(G16)&lt;=$B$1,I16&lt;=$B$1),C16,IF(D16*G16&lt;0,F16,C16))</f>
        <v/>
      </c>
      <c r="D17">
        <f>EXP(B17)-COS(B17)</f>
        <v/>
      </c>
      <c r="E17">
        <f>EXP(C17)-COS(C17)</f>
        <v/>
      </c>
      <c r="F17">
        <f>(B17+C17)/2</f>
        <v/>
      </c>
      <c r="G17">
        <f>EXP(F17)-COS(F17)</f>
        <v/>
      </c>
      <c r="H17">
        <f>C17-B17</f>
        <v/>
      </c>
      <c r="I17">
        <f>ABS(H17)/2</f>
        <v/>
      </c>
      <c r="J17">
        <f>IF(I17&lt;=$B$1,"Cumple","Continuar")</f>
        <v/>
      </c>
    </row>
    <row r="18">
      <c r="A18">
        <f>A17+1</f>
        <v/>
      </c>
      <c r="B18">
        <f>IF(OR(ABS(G17)&lt;=$B$1,I17&lt;=$B$1),B17,IF(D17*G17&lt;0,B17,F17))</f>
        <v/>
      </c>
      <c r="C18">
        <f>IF(OR(ABS(G17)&lt;=$B$1,I17&lt;=$B$1),C17,IF(D17*G17&lt;0,F17,C17))</f>
        <v/>
      </c>
      <c r="D18">
        <f>EXP(B18)-COS(B18)</f>
        <v/>
      </c>
      <c r="E18">
        <f>EXP(C18)-COS(C18)</f>
        <v/>
      </c>
      <c r="F18">
        <f>(B18+C18)/2</f>
        <v/>
      </c>
      <c r="G18">
        <f>EXP(F18)-COS(F18)</f>
        <v/>
      </c>
      <c r="H18">
        <f>C18-B18</f>
        <v/>
      </c>
      <c r="I18">
        <f>ABS(H18)/2</f>
        <v/>
      </c>
      <c r="J18">
        <f>IF(I18&lt;=$B$1,"Cumple","Continuar")</f>
        <v/>
      </c>
    </row>
    <row r="19">
      <c r="A19">
        <f>A18+1</f>
        <v/>
      </c>
      <c r="B19">
        <f>IF(OR(ABS(G18)&lt;=$B$1,I18&lt;=$B$1),B18,IF(D18*G18&lt;0,B18,F18))</f>
        <v/>
      </c>
      <c r="C19">
        <f>IF(OR(ABS(G18)&lt;=$B$1,I18&lt;=$B$1),C18,IF(D18*G18&lt;0,F18,C18))</f>
        <v/>
      </c>
      <c r="D19">
        <f>EXP(B19)-COS(B19)</f>
        <v/>
      </c>
      <c r="E19">
        <f>EXP(C19)-COS(C19)</f>
        <v/>
      </c>
      <c r="F19">
        <f>(B19+C19)/2</f>
        <v/>
      </c>
      <c r="G19">
        <f>EXP(F19)-COS(F19)</f>
        <v/>
      </c>
      <c r="H19">
        <f>C19-B19</f>
        <v/>
      </c>
      <c r="I19">
        <f>ABS(H19)/2</f>
        <v/>
      </c>
      <c r="J19">
        <f>IF(I19&lt;=$B$1,"Cumple","Continuar")</f>
        <v/>
      </c>
    </row>
    <row r="20">
      <c r="A20">
        <f>A19+1</f>
        <v/>
      </c>
      <c r="B20">
        <f>IF(OR(ABS(G19)&lt;=$B$1,I19&lt;=$B$1),B19,IF(D19*G19&lt;0,B19,F19))</f>
        <v/>
      </c>
      <c r="C20">
        <f>IF(OR(ABS(G19)&lt;=$B$1,I19&lt;=$B$1),C19,IF(D19*G19&lt;0,F19,C19))</f>
        <v/>
      </c>
      <c r="D20">
        <f>EXP(B20)-COS(B20)</f>
        <v/>
      </c>
      <c r="E20">
        <f>EXP(C20)-COS(C20)</f>
        <v/>
      </c>
      <c r="F20">
        <f>(B20+C20)/2</f>
        <v/>
      </c>
      <c r="G20">
        <f>EXP(F20)-COS(F20)</f>
        <v/>
      </c>
      <c r="H20">
        <f>C20-B20</f>
        <v/>
      </c>
      <c r="I20">
        <f>ABS(H20)/2</f>
        <v/>
      </c>
      <c r="J20">
        <f>IF(I20&lt;=$B$1,"Cumple","Continuar")</f>
        <v/>
      </c>
    </row>
    <row r="21">
      <c r="A21">
        <f>A20+1</f>
        <v/>
      </c>
      <c r="B21">
        <f>IF(OR(ABS(G20)&lt;=$B$1,I20&lt;=$B$1),B20,IF(D20*G20&lt;0,B20,F20))</f>
        <v/>
      </c>
      <c r="C21">
        <f>IF(OR(ABS(G20)&lt;=$B$1,I20&lt;=$B$1),C20,IF(D20*G20&lt;0,F20,C20))</f>
        <v/>
      </c>
      <c r="D21">
        <f>EXP(B21)-COS(B21)</f>
        <v/>
      </c>
      <c r="E21">
        <f>EXP(C21)-COS(C21)</f>
        <v/>
      </c>
      <c r="F21">
        <f>(B21+C21)/2</f>
        <v/>
      </c>
      <c r="G21">
        <f>EXP(F21)-COS(F21)</f>
        <v/>
      </c>
      <c r="H21">
        <f>C21-B21</f>
        <v/>
      </c>
      <c r="I21">
        <f>ABS(H21)/2</f>
        <v/>
      </c>
      <c r="J21">
        <f>IF(I21&lt;=$B$1,"Cumple","Continuar")</f>
        <v/>
      </c>
    </row>
    <row r="22">
      <c r="A22">
        <f>A21+1</f>
        <v/>
      </c>
      <c r="B22">
        <f>IF(OR(ABS(G21)&lt;=$B$1,I21&lt;=$B$1),B21,IF(D21*G21&lt;0,B21,F21))</f>
        <v/>
      </c>
      <c r="C22">
        <f>IF(OR(ABS(G21)&lt;=$B$1,I21&lt;=$B$1),C21,IF(D21*G21&lt;0,F21,C21))</f>
        <v/>
      </c>
      <c r="D22">
        <f>EXP(B22)-COS(B22)</f>
        <v/>
      </c>
      <c r="E22">
        <f>EXP(C22)-COS(C22)</f>
        <v/>
      </c>
      <c r="F22">
        <f>(B22+C22)/2</f>
        <v/>
      </c>
      <c r="G22">
        <f>EXP(F22)-COS(F22)</f>
        <v/>
      </c>
      <c r="H22">
        <f>C22-B22</f>
        <v/>
      </c>
      <c r="I22">
        <f>ABS(H22)/2</f>
        <v/>
      </c>
      <c r="J22">
        <f>IF(I22&lt;=$B$1,"Cumple","Continuar")</f>
        <v/>
      </c>
    </row>
    <row r="23">
      <c r="A23">
        <f>A22+1</f>
        <v/>
      </c>
      <c r="B23">
        <f>IF(OR(ABS(G22)&lt;=$B$1,I22&lt;=$B$1),B22,IF(D22*G22&lt;0,B22,F22))</f>
        <v/>
      </c>
      <c r="C23">
        <f>IF(OR(ABS(G22)&lt;=$B$1,I22&lt;=$B$1),C22,IF(D22*G22&lt;0,F22,C22))</f>
        <v/>
      </c>
      <c r="D23">
        <f>EXP(B23)-COS(B23)</f>
        <v/>
      </c>
      <c r="E23">
        <f>EXP(C23)-COS(C23)</f>
        <v/>
      </c>
      <c r="F23">
        <f>(B23+C23)/2</f>
        <v/>
      </c>
      <c r="G23">
        <f>EXP(F23)-COS(F23)</f>
        <v/>
      </c>
      <c r="H23">
        <f>C23-B23</f>
        <v/>
      </c>
      <c r="I23">
        <f>ABS(H23)/2</f>
        <v/>
      </c>
      <c r="J23">
        <f>IF(I23&lt;=$B$1,"Cumple","Continuar")</f>
        <v/>
      </c>
    </row>
    <row r="24">
      <c r="A24">
        <f>A23+1</f>
        <v/>
      </c>
      <c r="B24">
        <f>IF(OR(ABS(G23)&lt;=$B$1,I23&lt;=$B$1),B23,IF(D23*G23&lt;0,B23,F23))</f>
        <v/>
      </c>
      <c r="C24">
        <f>IF(OR(ABS(G23)&lt;=$B$1,I23&lt;=$B$1),C23,IF(D23*G23&lt;0,F23,C23))</f>
        <v/>
      </c>
      <c r="D24">
        <f>EXP(B24)-COS(B24)</f>
        <v/>
      </c>
      <c r="E24">
        <f>EXP(C24)-COS(C24)</f>
        <v/>
      </c>
      <c r="F24">
        <f>(B24+C24)/2</f>
        <v/>
      </c>
      <c r="G24">
        <f>EXP(F24)-COS(F24)</f>
        <v/>
      </c>
      <c r="H24">
        <f>C24-B24</f>
        <v/>
      </c>
      <c r="I24">
        <f>ABS(H24)/2</f>
        <v/>
      </c>
      <c r="J24">
        <f>IF(I24&lt;=$B$1,"Cumple","Continuar")</f>
        <v/>
      </c>
    </row>
    <row r="25">
      <c r="A25">
        <f>A24+1</f>
        <v/>
      </c>
      <c r="B25">
        <f>IF(OR(ABS(G24)&lt;=$B$1,I24&lt;=$B$1),B24,IF(D24*G24&lt;0,B24,F24))</f>
        <v/>
      </c>
      <c r="C25">
        <f>IF(OR(ABS(G24)&lt;=$B$1,I24&lt;=$B$1),C24,IF(D24*G24&lt;0,F24,C24))</f>
        <v/>
      </c>
      <c r="D25">
        <f>EXP(B25)-COS(B25)</f>
        <v/>
      </c>
      <c r="E25">
        <f>EXP(C25)-COS(C25)</f>
        <v/>
      </c>
      <c r="F25">
        <f>(B25+C25)/2</f>
        <v/>
      </c>
      <c r="G25">
        <f>EXP(F25)-COS(F25)</f>
        <v/>
      </c>
      <c r="H25">
        <f>C25-B25</f>
        <v/>
      </c>
      <c r="I25">
        <f>ABS(H25)/2</f>
        <v/>
      </c>
      <c r="J25">
        <f>IF(I25&lt;=$B$1,"Cumple","Continuar")</f>
        <v/>
      </c>
    </row>
    <row r="26">
      <c r="A26">
        <f>A25+1</f>
        <v/>
      </c>
      <c r="B26">
        <f>IF(OR(ABS(G25)&lt;=$B$1,I25&lt;=$B$1),B25,IF(D25*G25&lt;0,B25,F25))</f>
        <v/>
      </c>
      <c r="C26">
        <f>IF(OR(ABS(G25)&lt;=$B$1,I25&lt;=$B$1),C25,IF(D25*G25&lt;0,F25,C25))</f>
        <v/>
      </c>
      <c r="D26">
        <f>EXP(B26)-COS(B26)</f>
        <v/>
      </c>
      <c r="E26">
        <f>EXP(C26)-COS(C26)</f>
        <v/>
      </c>
      <c r="F26">
        <f>(B26+C26)/2</f>
        <v/>
      </c>
      <c r="G26">
        <f>EXP(F26)-COS(F26)</f>
        <v/>
      </c>
      <c r="H26">
        <f>C26-B26</f>
        <v/>
      </c>
      <c r="I26">
        <f>ABS(H26)/2</f>
        <v/>
      </c>
      <c r="J26">
        <f>IF(I26&lt;=$B$1,"Cumple","Continuar")</f>
        <v/>
      </c>
    </row>
    <row r="27">
      <c r="A27">
        <f>A26+1</f>
        <v/>
      </c>
      <c r="B27">
        <f>IF(OR(ABS(G26)&lt;=$B$1,I26&lt;=$B$1),B26,IF(D26*G26&lt;0,B26,F26))</f>
        <v/>
      </c>
      <c r="C27">
        <f>IF(OR(ABS(G26)&lt;=$B$1,I26&lt;=$B$1),C26,IF(D26*G26&lt;0,F26,C26))</f>
        <v/>
      </c>
      <c r="D27">
        <f>EXP(B27)-COS(B27)</f>
        <v/>
      </c>
      <c r="E27">
        <f>EXP(C27)-COS(C27)</f>
        <v/>
      </c>
      <c r="F27">
        <f>(B27+C27)/2</f>
        <v/>
      </c>
      <c r="G27">
        <f>EXP(F27)-COS(F27)</f>
        <v/>
      </c>
      <c r="H27">
        <f>C27-B27</f>
        <v/>
      </c>
      <c r="I27">
        <f>ABS(H27)/2</f>
        <v/>
      </c>
      <c r="J27">
        <f>IF(I27&lt;=$B$1,"Cumple","Continuar")</f>
        <v/>
      </c>
    </row>
    <row r="28">
      <c r="A28">
        <f>A27+1</f>
        <v/>
      </c>
      <c r="B28">
        <f>IF(OR(ABS(G27)&lt;=$B$1,I27&lt;=$B$1),B27,IF(D27*G27&lt;0,B27,F27))</f>
        <v/>
      </c>
      <c r="C28">
        <f>IF(OR(ABS(G27)&lt;=$B$1,I27&lt;=$B$1),C27,IF(D27*G27&lt;0,F27,C27))</f>
        <v/>
      </c>
      <c r="D28">
        <f>EXP(B28)-COS(B28)</f>
        <v/>
      </c>
      <c r="E28">
        <f>EXP(C28)-COS(C28)</f>
        <v/>
      </c>
      <c r="F28">
        <f>(B28+C28)/2</f>
        <v/>
      </c>
      <c r="G28">
        <f>EXP(F28)-COS(F28)</f>
        <v/>
      </c>
      <c r="H28">
        <f>C28-B28</f>
        <v/>
      </c>
      <c r="I28">
        <f>ABS(H28)/2</f>
        <v/>
      </c>
      <c r="J28">
        <f>IF(I28&lt;=$B$1,"Cumple","Continuar")</f>
        <v/>
      </c>
    </row>
    <row r="29">
      <c r="A29">
        <f>A28+1</f>
        <v/>
      </c>
      <c r="B29">
        <f>IF(OR(ABS(G28)&lt;=$B$1,I28&lt;=$B$1),B28,IF(D28*G28&lt;0,B28,F28))</f>
        <v/>
      </c>
      <c r="C29">
        <f>IF(OR(ABS(G28)&lt;=$B$1,I28&lt;=$B$1),C28,IF(D28*G28&lt;0,F28,C28))</f>
        <v/>
      </c>
      <c r="D29">
        <f>EXP(B29)-COS(B29)</f>
        <v/>
      </c>
      <c r="E29">
        <f>EXP(C29)-COS(C29)</f>
        <v/>
      </c>
      <c r="F29">
        <f>(B29+C29)/2</f>
        <v/>
      </c>
      <c r="G29">
        <f>EXP(F29)-COS(F29)</f>
        <v/>
      </c>
      <c r="H29">
        <f>C29-B29</f>
        <v/>
      </c>
      <c r="I29">
        <f>ABS(H29)/2</f>
        <v/>
      </c>
      <c r="J29">
        <f>IF(I29&lt;=$B$1,"Cumple","Continuar")</f>
        <v/>
      </c>
    </row>
    <row r="30">
      <c r="A30">
        <f>A29+1</f>
        <v/>
      </c>
      <c r="B30">
        <f>IF(OR(ABS(G29)&lt;=$B$1,I29&lt;=$B$1),B29,IF(D29*G29&lt;0,B29,F29))</f>
        <v/>
      </c>
      <c r="C30">
        <f>IF(OR(ABS(G29)&lt;=$B$1,I29&lt;=$B$1),C29,IF(D29*G29&lt;0,F29,C29))</f>
        <v/>
      </c>
      <c r="D30">
        <f>EXP(B30)-COS(B30)</f>
        <v/>
      </c>
      <c r="E30">
        <f>EXP(C30)-COS(C30)</f>
        <v/>
      </c>
      <c r="F30">
        <f>(B30+C30)/2</f>
        <v/>
      </c>
      <c r="G30">
        <f>EXP(F30)-COS(F30)</f>
        <v/>
      </c>
      <c r="H30">
        <f>C30-B30</f>
        <v/>
      </c>
      <c r="I30">
        <f>ABS(H30)/2</f>
        <v/>
      </c>
      <c r="J30">
        <f>IF(I30&lt;=$B$1,"Cumple","Continuar")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Tolerancia</t>
        </is>
      </c>
      <c r="B1" t="n">
        <v>1e-06</v>
      </c>
    </row>
    <row r="5">
      <c r="A5" s="1" t="inlineStr">
        <is>
          <t>Iter</t>
        </is>
      </c>
      <c r="B5" s="1" t="inlineStr">
        <is>
          <t>x_n</t>
        </is>
      </c>
      <c r="C5" s="1" t="inlineStr">
        <is>
          <t>f(x_n)</t>
        </is>
      </c>
      <c r="D5" s="1" t="inlineStr">
        <is>
          <t>f'(x_n)</t>
        </is>
      </c>
      <c r="E5" s="1" t="inlineStr">
        <is>
          <t>x_{n+1}</t>
        </is>
      </c>
      <c r="F5" s="1" t="inlineStr">
        <is>
          <t>Error</t>
        </is>
      </c>
      <c r="G5" s="1" t="inlineStr">
        <is>
          <t>Condicion</t>
        </is>
      </c>
    </row>
    <row r="6">
      <c r="A6" t="n">
        <v>0</v>
      </c>
      <c r="B6" t="n">
        <v>1.5</v>
      </c>
      <c r="C6">
        <f>B6*ATAN(B6/2)+LN(B6^2+4)-3</f>
        <v/>
      </c>
      <c r="D6">
        <f>ATAN(B6/2)+B6/(2*(1+(B6/2)^2))+2*B6/(B6^2+4)</f>
        <v/>
      </c>
      <c r="E6">
        <f>IF(D6=0,B6,B6-C6/D6)</f>
        <v/>
      </c>
      <c r="F6">
        <f>ABS(E6-B6)</f>
        <v/>
      </c>
      <c r="G6">
        <f>IF(F6&lt;=$B$1,"Cumple","Continuar")</f>
        <v/>
      </c>
    </row>
    <row r="7">
      <c r="A7">
        <f>A6+1</f>
        <v/>
      </c>
      <c r="B7">
        <f>E6</f>
        <v/>
      </c>
      <c r="C7">
        <f>B7*ATAN(B7/2)+LN(B7^2+4)-3</f>
        <v/>
      </c>
      <c r="D7">
        <f>ATAN(B7/2)+B7/(2*(1+(B7/2)^2))+2*B7/(B7^2+4)</f>
        <v/>
      </c>
      <c r="E7">
        <f>IF(D7=0,B7,B7-C7/D7)</f>
        <v/>
      </c>
      <c r="F7">
        <f>ABS(E7-B7)</f>
        <v/>
      </c>
      <c r="G7">
        <f>IF(F7&lt;=$B$1,"Cumple","Continuar")</f>
        <v/>
      </c>
    </row>
    <row r="8">
      <c r="A8">
        <f>A7+1</f>
        <v/>
      </c>
      <c r="B8">
        <f>E7</f>
        <v/>
      </c>
      <c r="C8">
        <f>B8*ATAN(B8/2)+LN(B8^2+4)-3</f>
        <v/>
      </c>
      <c r="D8">
        <f>ATAN(B8/2)+B8/(2*(1+(B8/2)^2))+2*B8/(B8^2+4)</f>
        <v/>
      </c>
      <c r="E8">
        <f>IF(D8=0,B8,B8-C8/D8)</f>
        <v/>
      </c>
      <c r="F8">
        <f>ABS(E8-B8)</f>
        <v/>
      </c>
      <c r="G8">
        <f>IF(F8&lt;=$B$1,"Cumple","Continuar")</f>
        <v/>
      </c>
    </row>
    <row r="9">
      <c r="A9">
        <f>A8+1</f>
        <v/>
      </c>
      <c r="B9">
        <f>E8</f>
        <v/>
      </c>
      <c r="C9">
        <f>B9*ATAN(B9/2)+LN(B9^2+4)-3</f>
        <v/>
      </c>
      <c r="D9">
        <f>ATAN(B9/2)+B9/(2*(1+(B9/2)^2))+2*B9/(B9^2+4)</f>
        <v/>
      </c>
      <c r="E9">
        <f>IF(D9=0,B9,B9-C9/D9)</f>
        <v/>
      </c>
      <c r="F9">
        <f>ABS(E9-B9)</f>
        <v/>
      </c>
      <c r="G9">
        <f>IF(F9&lt;=$B$1,"Cumple","Continuar")</f>
        <v/>
      </c>
    </row>
    <row r="10">
      <c r="A10">
        <f>A9+1</f>
        <v/>
      </c>
      <c r="B10">
        <f>E9</f>
        <v/>
      </c>
      <c r="C10">
        <f>B10*ATAN(B10/2)+LN(B10^2+4)-3</f>
        <v/>
      </c>
      <c r="D10">
        <f>ATAN(B10/2)+B10/(2*(1+(B10/2)^2))+2*B10/(B10^2+4)</f>
        <v/>
      </c>
      <c r="E10">
        <f>IF(D10=0,B10,B10-C10/D10)</f>
        <v/>
      </c>
      <c r="F10">
        <f>ABS(E10-B10)</f>
        <v/>
      </c>
      <c r="G10">
        <f>IF(F10&lt;=$B$1,"Cumple","Continuar")</f>
        <v/>
      </c>
    </row>
    <row r="11">
      <c r="A11">
        <f>A10+1</f>
        <v/>
      </c>
      <c r="B11">
        <f>E10</f>
        <v/>
      </c>
      <c r="C11">
        <f>B11*ATAN(B11/2)+LN(B11^2+4)-3</f>
        <v/>
      </c>
      <c r="D11">
        <f>ATAN(B11/2)+B11/(2*(1+(B11/2)^2))+2*B11/(B11^2+4)</f>
        <v/>
      </c>
      <c r="E11">
        <f>IF(D11=0,B11,B11-C11/D11)</f>
        <v/>
      </c>
      <c r="F11">
        <f>ABS(E11-B11)</f>
        <v/>
      </c>
      <c r="G11">
        <f>IF(F11&lt;=$B$1,"Cumple","Continuar")</f>
        <v/>
      </c>
    </row>
    <row r="12">
      <c r="A12">
        <f>A11+1</f>
        <v/>
      </c>
      <c r="B12">
        <f>E11</f>
        <v/>
      </c>
      <c r="C12">
        <f>B12*ATAN(B12/2)+LN(B12^2+4)-3</f>
        <v/>
      </c>
      <c r="D12">
        <f>ATAN(B12/2)+B12/(2*(1+(B12/2)^2))+2*B12/(B12^2+4)</f>
        <v/>
      </c>
      <c r="E12">
        <f>IF(D12=0,B12,B12-C12/D12)</f>
        <v/>
      </c>
      <c r="F12">
        <f>ABS(E12-B12)</f>
        <v/>
      </c>
      <c r="G12">
        <f>IF(F12&lt;=$B$1,"Cumple","Continuar")</f>
        <v/>
      </c>
    </row>
    <row r="13">
      <c r="A13">
        <f>A12+1</f>
        <v/>
      </c>
      <c r="B13">
        <f>E12</f>
        <v/>
      </c>
      <c r="C13">
        <f>B13*ATAN(B13/2)+LN(B13^2+4)-3</f>
        <v/>
      </c>
      <c r="D13">
        <f>ATAN(B13/2)+B13/(2*(1+(B13/2)^2))+2*B13/(B13^2+4)</f>
        <v/>
      </c>
      <c r="E13">
        <f>IF(D13=0,B13,B13-C13/D13)</f>
        <v/>
      </c>
      <c r="F13">
        <f>ABS(E13-B13)</f>
        <v/>
      </c>
      <c r="G13">
        <f>IF(F13&lt;=$B$1,"Cumple","Continuar")</f>
        <v/>
      </c>
    </row>
    <row r="14">
      <c r="A14">
        <f>A13+1</f>
        <v/>
      </c>
      <c r="B14">
        <f>E13</f>
        <v/>
      </c>
      <c r="C14">
        <f>B14*ATAN(B14/2)+LN(B14^2+4)-3</f>
        <v/>
      </c>
      <c r="D14">
        <f>ATAN(B14/2)+B14/(2*(1+(B14/2)^2))+2*B14/(B14^2+4)</f>
        <v/>
      </c>
      <c r="E14">
        <f>IF(D14=0,B14,B14-C14/D14)</f>
        <v/>
      </c>
      <c r="F14">
        <f>ABS(E14-B14)</f>
        <v/>
      </c>
      <c r="G14">
        <f>IF(F14&lt;=$B$1,"Cumple","Continuar")</f>
        <v/>
      </c>
    </row>
    <row r="15">
      <c r="A15">
        <f>A14+1</f>
        <v/>
      </c>
      <c r="B15">
        <f>E14</f>
        <v/>
      </c>
      <c r="C15">
        <f>B15*ATAN(B15/2)+LN(B15^2+4)-3</f>
        <v/>
      </c>
      <c r="D15">
        <f>ATAN(B15/2)+B15/(2*(1+(B15/2)^2))+2*B15/(B15^2+4)</f>
        <v/>
      </c>
      <c r="E15">
        <f>IF(D15=0,B15,B15-C15/D15)</f>
        <v/>
      </c>
      <c r="F15">
        <f>ABS(E15-B15)</f>
        <v/>
      </c>
      <c r="G15">
        <f>IF(F15&lt;=$B$1,"Cumple","Continuar")</f>
        <v/>
      </c>
    </row>
    <row r="16">
      <c r="A16">
        <f>A15+1</f>
        <v/>
      </c>
      <c r="B16">
        <f>E15</f>
        <v/>
      </c>
      <c r="C16">
        <f>B16*ATAN(B16/2)+LN(B16^2+4)-3</f>
        <v/>
      </c>
      <c r="D16">
        <f>ATAN(B16/2)+B16/(2*(1+(B16/2)^2))+2*B16/(B16^2+4)</f>
        <v/>
      </c>
      <c r="E16">
        <f>IF(D16=0,B16,B16-C16/D16)</f>
        <v/>
      </c>
      <c r="F16">
        <f>ABS(E16-B16)</f>
        <v/>
      </c>
      <c r="G16">
        <f>IF(F16&lt;=$B$1,"Cumple","Continuar")</f>
        <v/>
      </c>
    </row>
    <row r="17">
      <c r="A17">
        <f>A16+1</f>
        <v/>
      </c>
      <c r="B17">
        <f>E16</f>
        <v/>
      </c>
      <c r="C17">
        <f>B17*ATAN(B17/2)+LN(B17^2+4)-3</f>
        <v/>
      </c>
      <c r="D17">
        <f>ATAN(B17/2)+B17/(2*(1+(B17/2)^2))+2*B17/(B17^2+4)</f>
        <v/>
      </c>
      <c r="E17">
        <f>IF(D17=0,B17,B17-C17/D17)</f>
        <v/>
      </c>
      <c r="F17">
        <f>ABS(E17-B17)</f>
        <v/>
      </c>
      <c r="G17">
        <f>IF(F17&lt;=$B$1,"Cumple","Continuar")</f>
        <v/>
      </c>
    </row>
    <row r="18">
      <c r="A18">
        <f>A17+1</f>
        <v/>
      </c>
      <c r="B18">
        <f>E17</f>
        <v/>
      </c>
      <c r="C18">
        <f>B18*ATAN(B18/2)+LN(B18^2+4)-3</f>
        <v/>
      </c>
      <c r="D18">
        <f>ATAN(B18/2)+B18/(2*(1+(B18/2)^2))+2*B18/(B18^2+4)</f>
        <v/>
      </c>
      <c r="E18">
        <f>IF(D18=0,B18,B18-C18/D18)</f>
        <v/>
      </c>
      <c r="F18">
        <f>ABS(E18-B18)</f>
        <v/>
      </c>
      <c r="G18">
        <f>IF(F18&lt;=$B$1,"Cumple","Continuar")</f>
        <v/>
      </c>
    </row>
    <row r="19">
      <c r="A19">
        <f>A18+1</f>
        <v/>
      </c>
      <c r="B19">
        <f>E18</f>
        <v/>
      </c>
      <c r="C19">
        <f>B19*ATAN(B19/2)+LN(B19^2+4)-3</f>
        <v/>
      </c>
      <c r="D19">
        <f>ATAN(B19/2)+B19/(2*(1+(B19/2)^2))+2*B19/(B19^2+4)</f>
        <v/>
      </c>
      <c r="E19">
        <f>IF(D19=0,B19,B19-C19/D19)</f>
        <v/>
      </c>
      <c r="F19">
        <f>ABS(E19-B19)</f>
        <v/>
      </c>
      <c r="G19">
        <f>IF(F19&lt;=$B$1,"Cumple","Continuar")</f>
        <v/>
      </c>
    </row>
    <row r="20">
      <c r="A20">
        <f>A19+1</f>
        <v/>
      </c>
      <c r="B20">
        <f>E19</f>
        <v/>
      </c>
      <c r="C20">
        <f>B20*ATAN(B20/2)+LN(B20^2+4)-3</f>
        <v/>
      </c>
      <c r="D20">
        <f>ATAN(B20/2)+B20/(2*(1+(B20/2)^2))+2*B20/(B20^2+4)</f>
        <v/>
      </c>
      <c r="E20">
        <f>IF(D20=0,B20,B20-C20/D20)</f>
        <v/>
      </c>
      <c r="F20">
        <f>ABS(E20-B20)</f>
        <v/>
      </c>
      <c r="G20">
        <f>IF(F20&lt;=$B$1,"Cumple","Continuar")</f>
        <v/>
      </c>
    </row>
    <row r="21">
      <c r="A21">
        <f>A20+1</f>
        <v/>
      </c>
      <c r="B21">
        <f>E20</f>
        <v/>
      </c>
      <c r="C21">
        <f>B21*ATAN(B21/2)+LN(B21^2+4)-3</f>
        <v/>
      </c>
      <c r="D21">
        <f>ATAN(B21/2)+B21/(2*(1+(B21/2)^2))+2*B21/(B21^2+4)</f>
        <v/>
      </c>
      <c r="E21">
        <f>IF(D21=0,B21,B21-C21/D21)</f>
        <v/>
      </c>
      <c r="F21">
        <f>ABS(E21-B21)</f>
        <v/>
      </c>
      <c r="G21">
        <f>IF(F21&lt;=$B$1,"Cumple","Continuar")</f>
        <v/>
      </c>
    </row>
    <row r="22">
      <c r="A22">
        <f>A21+1</f>
        <v/>
      </c>
      <c r="B22">
        <f>E21</f>
        <v/>
      </c>
      <c r="C22">
        <f>B22*ATAN(B22/2)+LN(B22^2+4)-3</f>
        <v/>
      </c>
      <c r="D22">
        <f>ATAN(B22/2)+B22/(2*(1+(B22/2)^2))+2*B22/(B22^2+4)</f>
        <v/>
      </c>
      <c r="E22">
        <f>IF(D22=0,B22,B22-C22/D22)</f>
        <v/>
      </c>
      <c r="F22">
        <f>ABS(E22-B22)</f>
        <v/>
      </c>
      <c r="G22">
        <f>IF(F22&lt;=$B$1,"Cumple","Continuar")</f>
        <v/>
      </c>
    </row>
    <row r="23">
      <c r="A23">
        <f>A22+1</f>
        <v/>
      </c>
      <c r="B23">
        <f>E22</f>
        <v/>
      </c>
      <c r="C23">
        <f>B23*ATAN(B23/2)+LN(B23^2+4)-3</f>
        <v/>
      </c>
      <c r="D23">
        <f>ATAN(B23/2)+B23/(2*(1+(B23/2)^2))+2*B23/(B23^2+4)</f>
        <v/>
      </c>
      <c r="E23">
        <f>IF(D23=0,B23,B23-C23/D23)</f>
        <v/>
      </c>
      <c r="F23">
        <f>ABS(E23-B23)</f>
        <v/>
      </c>
      <c r="G23">
        <f>IF(F23&lt;=$B$1,"Cumple","Continuar")</f>
        <v/>
      </c>
    </row>
    <row r="24">
      <c r="A24">
        <f>A23+1</f>
        <v/>
      </c>
      <c r="B24">
        <f>E23</f>
        <v/>
      </c>
      <c r="C24">
        <f>B24*ATAN(B24/2)+LN(B24^2+4)-3</f>
        <v/>
      </c>
      <c r="D24">
        <f>ATAN(B24/2)+B24/(2*(1+(B24/2)^2))+2*B24/(B24^2+4)</f>
        <v/>
      </c>
      <c r="E24">
        <f>IF(D24=0,B24,B24-C24/D24)</f>
        <v/>
      </c>
      <c r="F24">
        <f>ABS(E24-B24)</f>
        <v/>
      </c>
      <c r="G24">
        <f>IF(F24&lt;=$B$1,"Cumple","Continuar")</f>
        <v/>
      </c>
    </row>
    <row r="25">
      <c r="A25">
        <f>A24+1</f>
        <v/>
      </c>
      <c r="B25">
        <f>E24</f>
        <v/>
      </c>
      <c r="C25">
        <f>B25*ATAN(B25/2)+LN(B25^2+4)-3</f>
        <v/>
      </c>
      <c r="D25">
        <f>ATAN(B25/2)+B25/(2*(1+(B25/2)^2))+2*B25/(B25^2+4)</f>
        <v/>
      </c>
      <c r="E25">
        <f>IF(D25=0,B25,B25-C25/D25)</f>
        <v/>
      </c>
      <c r="F25">
        <f>ABS(E25-B25)</f>
        <v/>
      </c>
      <c r="G25">
        <f>IF(F25&lt;=$B$1,"Cumple","Continuar")</f>
        <v/>
      </c>
    </row>
    <row r="26">
      <c r="A26">
        <f>A25+1</f>
        <v/>
      </c>
      <c r="B26">
        <f>E25</f>
        <v/>
      </c>
      <c r="C26">
        <f>B26*ATAN(B26/2)+LN(B26^2+4)-3</f>
        <v/>
      </c>
      <c r="D26">
        <f>ATAN(B26/2)+B26/(2*(1+(B26/2)^2))+2*B26/(B26^2+4)</f>
        <v/>
      </c>
      <c r="E26">
        <f>IF(D26=0,B26,B26-C26/D26)</f>
        <v/>
      </c>
      <c r="F26">
        <f>ABS(E26-B26)</f>
        <v/>
      </c>
      <c r="G26">
        <f>IF(F26&lt;=$B$1,"Cumple","Continuar")</f>
        <v/>
      </c>
    </row>
    <row r="27">
      <c r="A27">
        <f>A26+1</f>
        <v/>
      </c>
      <c r="B27">
        <f>E26</f>
        <v/>
      </c>
      <c r="C27">
        <f>B27*ATAN(B27/2)+LN(B27^2+4)-3</f>
        <v/>
      </c>
      <c r="D27">
        <f>ATAN(B27/2)+B27/(2*(1+(B27/2)^2))+2*B27/(B27^2+4)</f>
        <v/>
      </c>
      <c r="E27">
        <f>IF(D27=0,B27,B27-C27/D27)</f>
        <v/>
      </c>
      <c r="F27">
        <f>ABS(E27-B27)</f>
        <v/>
      </c>
      <c r="G27">
        <f>IF(F27&lt;=$B$1,"Cumple","Continuar")</f>
        <v/>
      </c>
    </row>
    <row r="28">
      <c r="A28">
        <f>A27+1</f>
        <v/>
      </c>
      <c r="B28">
        <f>E27</f>
        <v/>
      </c>
      <c r="C28">
        <f>B28*ATAN(B28/2)+LN(B28^2+4)-3</f>
        <v/>
      </c>
      <c r="D28">
        <f>ATAN(B28/2)+B28/(2*(1+(B28/2)^2))+2*B28/(B28^2+4)</f>
        <v/>
      </c>
      <c r="E28">
        <f>IF(D28=0,B28,B28-C28/D28)</f>
        <v/>
      </c>
      <c r="F28">
        <f>ABS(E28-B28)</f>
        <v/>
      </c>
      <c r="G28">
        <f>IF(F28&lt;=$B$1,"Cumple","Continuar")</f>
        <v/>
      </c>
    </row>
    <row r="29">
      <c r="A29">
        <f>A28+1</f>
        <v/>
      </c>
      <c r="B29">
        <f>E28</f>
        <v/>
      </c>
      <c r="C29">
        <f>B29*ATAN(B29/2)+LN(B29^2+4)-3</f>
        <v/>
      </c>
      <c r="D29">
        <f>ATAN(B29/2)+B29/(2*(1+(B29/2)^2))+2*B29/(B29^2+4)</f>
        <v/>
      </c>
      <c r="E29">
        <f>IF(D29=0,B29,B29-C29/D29)</f>
        <v/>
      </c>
      <c r="F29">
        <f>ABS(E29-B29)</f>
        <v/>
      </c>
      <c r="G29">
        <f>IF(F29&lt;=$B$1,"Cumple","Continuar")</f>
        <v/>
      </c>
    </row>
    <row r="30">
      <c r="A30">
        <f>A29+1</f>
        <v/>
      </c>
      <c r="B30">
        <f>E29</f>
        <v/>
      </c>
      <c r="C30">
        <f>B30*ATAN(B30/2)+LN(B30^2+4)-3</f>
        <v/>
      </c>
      <c r="D30">
        <f>ATAN(B30/2)+B30/(2*(1+(B30/2)^2))+2*B30/(B30^2+4)</f>
        <v/>
      </c>
      <c r="E30">
        <f>IF(D30=0,B30,B30-C30/D30)</f>
        <v/>
      </c>
      <c r="F30">
        <f>ABS(E30-B30)</f>
        <v/>
      </c>
      <c r="G30">
        <f>IF(F30&lt;=$B$1,"Cumple","Continuar")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Tolerancia</t>
        </is>
      </c>
      <c r="B1" t="n">
        <v>1e-06</v>
      </c>
    </row>
    <row r="5">
      <c r="A5" s="1" t="inlineStr">
        <is>
          <t>Iter</t>
        </is>
      </c>
      <c r="B5" s="1" t="inlineStr">
        <is>
          <t>x_{n-1}</t>
        </is>
      </c>
      <c r="C5" s="1" t="inlineStr">
        <is>
          <t>x_n</t>
        </is>
      </c>
      <c r="D5" s="1" t="inlineStr">
        <is>
          <t>f(x_{n-1})</t>
        </is>
      </c>
      <c r="E5" s="1" t="inlineStr">
        <is>
          <t>f(x_n)</t>
        </is>
      </c>
      <c r="F5" s="1" t="inlineStr">
        <is>
          <t>x_{n+1}</t>
        </is>
      </c>
      <c r="G5" s="1" t="inlineStr">
        <is>
          <t>Error</t>
        </is>
      </c>
      <c r="H5" s="1" t="inlineStr">
        <is>
          <t>Condicion</t>
        </is>
      </c>
    </row>
    <row r="6">
      <c r="A6" t="n">
        <v>0</v>
      </c>
      <c r="B6" t="n">
        <v>0.5</v>
      </c>
      <c r="C6" t="n">
        <v>1</v>
      </c>
      <c r="D6">
        <f>0.5+0.25*B6^2-B6*SIN(B6)-0.5*COS(2*B6)</f>
        <v/>
      </c>
      <c r="E6">
        <f>0.5+0.25*C6^2-C6*SIN(C6)-0.5*COS(2*C6)</f>
        <v/>
      </c>
      <c r="F6">
        <f>IF(E6=D6,C6,C6-E6*(C6-B6)/(E6-D6))</f>
        <v/>
      </c>
      <c r="G6">
        <f>ABS(F6-C6)</f>
        <v/>
      </c>
      <c r="H6">
        <f>IF(G6&lt;=$B$1,"Cumple","Continuar")</f>
        <v/>
      </c>
    </row>
    <row r="7">
      <c r="A7">
        <f>A6+1</f>
        <v/>
      </c>
      <c r="B7">
        <f>C6</f>
        <v/>
      </c>
      <c r="C7">
        <f>F6</f>
        <v/>
      </c>
      <c r="D7">
        <f>0.5+0.25*B7^2-B7*SIN(B7)-0.5*COS(2*B7)</f>
        <v/>
      </c>
      <c r="E7">
        <f>0.5+0.25*C7^2-C7*SIN(C7)-0.5*COS(2*C7)</f>
        <v/>
      </c>
      <c r="F7">
        <f>IF(E7=D7,C7,C7-E7*(C7-B7)/(E7-D7))</f>
        <v/>
      </c>
      <c r="G7">
        <f>ABS(F7-C7)</f>
        <v/>
      </c>
      <c r="H7">
        <f>IF(G7&lt;=$B$1,"Cumple","Continuar")</f>
        <v/>
      </c>
    </row>
    <row r="8">
      <c r="A8">
        <f>A7+1</f>
        <v/>
      </c>
      <c r="B8">
        <f>C7</f>
        <v/>
      </c>
      <c r="C8">
        <f>F7</f>
        <v/>
      </c>
      <c r="D8">
        <f>0.5+0.25*B8^2-B8*SIN(B8)-0.5*COS(2*B8)</f>
        <v/>
      </c>
      <c r="E8">
        <f>0.5+0.25*C8^2-C8*SIN(C8)-0.5*COS(2*C8)</f>
        <v/>
      </c>
      <c r="F8">
        <f>IF(E8=D8,C8,C8-E8*(C8-B8)/(E8-D8))</f>
        <v/>
      </c>
      <c r="G8">
        <f>ABS(F8-C8)</f>
        <v/>
      </c>
      <c r="H8">
        <f>IF(G8&lt;=$B$1,"Cumple","Continuar")</f>
        <v/>
      </c>
    </row>
    <row r="9">
      <c r="A9">
        <f>A8+1</f>
        <v/>
      </c>
      <c r="B9">
        <f>C8</f>
        <v/>
      </c>
      <c r="C9">
        <f>F8</f>
        <v/>
      </c>
      <c r="D9">
        <f>0.5+0.25*B9^2-B9*SIN(B9)-0.5*COS(2*B9)</f>
        <v/>
      </c>
      <c r="E9">
        <f>0.5+0.25*C9^2-C9*SIN(C9)-0.5*COS(2*C9)</f>
        <v/>
      </c>
      <c r="F9">
        <f>IF(E9=D9,C9,C9-E9*(C9-B9)/(E9-D9))</f>
        <v/>
      </c>
      <c r="G9">
        <f>ABS(F9-C9)</f>
        <v/>
      </c>
      <c r="H9">
        <f>IF(G9&lt;=$B$1,"Cumple","Continuar")</f>
        <v/>
      </c>
    </row>
    <row r="10">
      <c r="A10">
        <f>A9+1</f>
        <v/>
      </c>
      <c r="B10">
        <f>C9</f>
        <v/>
      </c>
      <c r="C10">
        <f>F9</f>
        <v/>
      </c>
      <c r="D10">
        <f>0.5+0.25*B10^2-B10*SIN(B10)-0.5*COS(2*B10)</f>
        <v/>
      </c>
      <c r="E10">
        <f>0.5+0.25*C10^2-C10*SIN(C10)-0.5*COS(2*C10)</f>
        <v/>
      </c>
      <c r="F10">
        <f>IF(E10=D10,C10,C10-E10*(C10-B10)/(E10-D10))</f>
        <v/>
      </c>
      <c r="G10">
        <f>ABS(F10-C10)</f>
        <v/>
      </c>
      <c r="H10">
        <f>IF(G10&lt;=$B$1,"Cumple","Continuar")</f>
        <v/>
      </c>
    </row>
    <row r="11">
      <c r="A11">
        <f>A10+1</f>
        <v/>
      </c>
      <c r="B11">
        <f>C10</f>
        <v/>
      </c>
      <c r="C11">
        <f>F10</f>
        <v/>
      </c>
      <c r="D11">
        <f>0.5+0.25*B11^2-B11*SIN(B11)-0.5*COS(2*B11)</f>
        <v/>
      </c>
      <c r="E11">
        <f>0.5+0.25*C11^2-C11*SIN(C11)-0.5*COS(2*C11)</f>
        <v/>
      </c>
      <c r="F11">
        <f>IF(E11=D11,C11,C11-E11*(C11-B11)/(E11-D11))</f>
        <v/>
      </c>
      <c r="G11">
        <f>ABS(F11-C11)</f>
        <v/>
      </c>
      <c r="H11">
        <f>IF(G11&lt;=$B$1,"Cumple","Continuar")</f>
        <v/>
      </c>
    </row>
    <row r="12">
      <c r="A12">
        <f>A11+1</f>
        <v/>
      </c>
      <c r="B12">
        <f>C11</f>
        <v/>
      </c>
      <c r="C12">
        <f>F11</f>
        <v/>
      </c>
      <c r="D12">
        <f>0.5+0.25*B12^2-B12*SIN(B12)-0.5*COS(2*B12)</f>
        <v/>
      </c>
      <c r="E12">
        <f>0.5+0.25*C12^2-C12*SIN(C12)-0.5*COS(2*C12)</f>
        <v/>
      </c>
      <c r="F12">
        <f>IF(E12=D12,C12,C12-E12*(C12-B12)/(E12-D12))</f>
        <v/>
      </c>
      <c r="G12">
        <f>ABS(F12-C12)</f>
        <v/>
      </c>
      <c r="H12">
        <f>IF(G12&lt;=$B$1,"Cumple","Continuar")</f>
        <v/>
      </c>
    </row>
    <row r="13">
      <c r="A13">
        <f>A12+1</f>
        <v/>
      </c>
      <c r="B13">
        <f>C12</f>
        <v/>
      </c>
      <c r="C13">
        <f>F12</f>
        <v/>
      </c>
      <c r="D13">
        <f>0.5+0.25*B13^2-B13*SIN(B13)-0.5*COS(2*B13)</f>
        <v/>
      </c>
      <c r="E13">
        <f>0.5+0.25*C13^2-C13*SIN(C13)-0.5*COS(2*C13)</f>
        <v/>
      </c>
      <c r="F13">
        <f>IF(E13=D13,C13,C13-E13*(C13-B13)/(E13-D13))</f>
        <v/>
      </c>
      <c r="G13">
        <f>ABS(F13-C13)</f>
        <v/>
      </c>
      <c r="H13">
        <f>IF(G13&lt;=$B$1,"Cumple","Continuar")</f>
        <v/>
      </c>
    </row>
    <row r="14">
      <c r="A14">
        <f>A13+1</f>
        <v/>
      </c>
      <c r="B14">
        <f>C13</f>
        <v/>
      </c>
      <c r="C14">
        <f>F13</f>
        <v/>
      </c>
      <c r="D14">
        <f>0.5+0.25*B14^2-B14*SIN(B14)-0.5*COS(2*B14)</f>
        <v/>
      </c>
      <c r="E14">
        <f>0.5+0.25*C14^2-C14*SIN(C14)-0.5*COS(2*C14)</f>
        <v/>
      </c>
      <c r="F14">
        <f>IF(E14=D14,C14,C14-E14*(C14-B14)/(E14-D14))</f>
        <v/>
      </c>
      <c r="G14">
        <f>ABS(F14-C14)</f>
        <v/>
      </c>
      <c r="H14">
        <f>IF(G14&lt;=$B$1,"Cumple","Continuar")</f>
        <v/>
      </c>
    </row>
    <row r="15">
      <c r="A15">
        <f>A14+1</f>
        <v/>
      </c>
      <c r="B15">
        <f>C14</f>
        <v/>
      </c>
      <c r="C15">
        <f>F14</f>
        <v/>
      </c>
      <c r="D15">
        <f>0.5+0.25*B15^2-B15*SIN(B15)-0.5*COS(2*B15)</f>
        <v/>
      </c>
      <c r="E15">
        <f>0.5+0.25*C15^2-C15*SIN(C15)-0.5*COS(2*C15)</f>
        <v/>
      </c>
      <c r="F15">
        <f>IF(E15=D15,C15,C15-E15*(C15-B15)/(E15-D15))</f>
        <v/>
      </c>
      <c r="G15">
        <f>ABS(F15-C15)</f>
        <v/>
      </c>
      <c r="H15">
        <f>IF(G15&lt;=$B$1,"Cumple","Continuar")</f>
        <v/>
      </c>
    </row>
    <row r="16">
      <c r="A16">
        <f>A15+1</f>
        <v/>
      </c>
      <c r="B16">
        <f>C15</f>
        <v/>
      </c>
      <c r="C16">
        <f>F15</f>
        <v/>
      </c>
      <c r="D16">
        <f>0.5+0.25*B16^2-B16*SIN(B16)-0.5*COS(2*B16)</f>
        <v/>
      </c>
      <c r="E16">
        <f>0.5+0.25*C16^2-C16*SIN(C16)-0.5*COS(2*C16)</f>
        <v/>
      </c>
      <c r="F16">
        <f>IF(E16=D16,C16,C16-E16*(C16-B16)/(E16-D16))</f>
        <v/>
      </c>
      <c r="G16">
        <f>ABS(F16-C16)</f>
        <v/>
      </c>
      <c r="H16">
        <f>IF(G16&lt;=$B$1,"Cumple","Continuar")</f>
        <v/>
      </c>
    </row>
    <row r="17">
      <c r="A17">
        <f>A16+1</f>
        <v/>
      </c>
      <c r="B17">
        <f>C16</f>
        <v/>
      </c>
      <c r="C17">
        <f>F16</f>
        <v/>
      </c>
      <c r="D17">
        <f>0.5+0.25*B17^2-B17*SIN(B17)-0.5*COS(2*B17)</f>
        <v/>
      </c>
      <c r="E17">
        <f>0.5+0.25*C17^2-C17*SIN(C17)-0.5*COS(2*C17)</f>
        <v/>
      </c>
      <c r="F17">
        <f>IF(E17=D17,C17,C17-E17*(C17-B17)/(E17-D17))</f>
        <v/>
      </c>
      <c r="G17">
        <f>ABS(F17-C17)</f>
        <v/>
      </c>
      <c r="H17">
        <f>IF(G17&lt;=$B$1,"Cumple","Continuar")</f>
        <v/>
      </c>
    </row>
    <row r="18">
      <c r="A18">
        <f>A17+1</f>
        <v/>
      </c>
      <c r="B18">
        <f>C17</f>
        <v/>
      </c>
      <c r="C18">
        <f>F17</f>
        <v/>
      </c>
      <c r="D18">
        <f>0.5+0.25*B18^2-B18*SIN(B18)-0.5*COS(2*B18)</f>
        <v/>
      </c>
      <c r="E18">
        <f>0.5+0.25*C18^2-C18*SIN(C18)-0.5*COS(2*C18)</f>
        <v/>
      </c>
      <c r="F18">
        <f>IF(E18=D18,C18,C18-E18*(C18-B18)/(E18-D18))</f>
        <v/>
      </c>
      <c r="G18">
        <f>ABS(F18-C18)</f>
        <v/>
      </c>
      <c r="H18">
        <f>IF(G18&lt;=$B$1,"Cumple","Continuar")</f>
        <v/>
      </c>
    </row>
    <row r="19">
      <c r="A19">
        <f>A18+1</f>
        <v/>
      </c>
      <c r="B19">
        <f>C18</f>
        <v/>
      </c>
      <c r="C19">
        <f>F18</f>
        <v/>
      </c>
      <c r="D19">
        <f>0.5+0.25*B19^2-B19*SIN(B19)-0.5*COS(2*B19)</f>
        <v/>
      </c>
      <c r="E19">
        <f>0.5+0.25*C19^2-C19*SIN(C19)-0.5*COS(2*C19)</f>
        <v/>
      </c>
      <c r="F19">
        <f>IF(E19=D19,C19,C19-E19*(C19-B19)/(E19-D19))</f>
        <v/>
      </c>
      <c r="G19">
        <f>ABS(F19-C19)</f>
        <v/>
      </c>
      <c r="H19">
        <f>IF(G19&lt;=$B$1,"Cumple","Continuar")</f>
        <v/>
      </c>
    </row>
    <row r="20">
      <c r="A20">
        <f>A19+1</f>
        <v/>
      </c>
      <c r="B20">
        <f>C19</f>
        <v/>
      </c>
      <c r="C20">
        <f>F19</f>
        <v/>
      </c>
      <c r="D20">
        <f>0.5+0.25*B20^2-B20*SIN(B20)-0.5*COS(2*B20)</f>
        <v/>
      </c>
      <c r="E20">
        <f>0.5+0.25*C20^2-C20*SIN(C20)-0.5*COS(2*C20)</f>
        <v/>
      </c>
      <c r="F20">
        <f>IF(E20=D20,C20,C20-E20*(C20-B20)/(E20-D20))</f>
        <v/>
      </c>
      <c r="G20">
        <f>ABS(F20-C20)</f>
        <v/>
      </c>
      <c r="H20">
        <f>IF(G20&lt;=$B$1,"Cumple","Continuar")</f>
        <v/>
      </c>
    </row>
    <row r="21">
      <c r="A21">
        <f>A20+1</f>
        <v/>
      </c>
      <c r="B21">
        <f>C20</f>
        <v/>
      </c>
      <c r="C21">
        <f>F20</f>
        <v/>
      </c>
      <c r="D21">
        <f>0.5+0.25*B21^2-B21*SIN(B21)-0.5*COS(2*B21)</f>
        <v/>
      </c>
      <c r="E21">
        <f>0.5+0.25*C21^2-C21*SIN(C21)-0.5*COS(2*C21)</f>
        <v/>
      </c>
      <c r="F21">
        <f>IF(E21=D21,C21,C21-E21*(C21-B21)/(E21-D21))</f>
        <v/>
      </c>
      <c r="G21">
        <f>ABS(F21-C21)</f>
        <v/>
      </c>
      <c r="H21">
        <f>IF(G21&lt;=$B$1,"Cumple","Continuar")</f>
        <v/>
      </c>
    </row>
    <row r="22">
      <c r="A22">
        <f>A21+1</f>
        <v/>
      </c>
      <c r="B22">
        <f>C21</f>
        <v/>
      </c>
      <c r="C22">
        <f>F21</f>
        <v/>
      </c>
      <c r="D22">
        <f>0.5+0.25*B22^2-B22*SIN(B22)-0.5*COS(2*B22)</f>
        <v/>
      </c>
      <c r="E22">
        <f>0.5+0.25*C22^2-C22*SIN(C22)-0.5*COS(2*C22)</f>
        <v/>
      </c>
      <c r="F22">
        <f>IF(E22=D22,C22,C22-E22*(C22-B22)/(E22-D22))</f>
        <v/>
      </c>
      <c r="G22">
        <f>ABS(F22-C22)</f>
        <v/>
      </c>
      <c r="H22">
        <f>IF(G22&lt;=$B$1,"Cumple","Continuar")</f>
        <v/>
      </c>
    </row>
    <row r="23">
      <c r="A23">
        <f>A22+1</f>
        <v/>
      </c>
      <c r="B23">
        <f>C22</f>
        <v/>
      </c>
      <c r="C23">
        <f>F22</f>
        <v/>
      </c>
      <c r="D23">
        <f>0.5+0.25*B23^2-B23*SIN(B23)-0.5*COS(2*B23)</f>
        <v/>
      </c>
      <c r="E23">
        <f>0.5+0.25*C23^2-C23*SIN(C23)-0.5*COS(2*C23)</f>
        <v/>
      </c>
      <c r="F23">
        <f>IF(E23=D23,C23,C23-E23*(C23-B23)/(E23-D23))</f>
        <v/>
      </c>
      <c r="G23">
        <f>ABS(F23-C23)</f>
        <v/>
      </c>
      <c r="H23">
        <f>IF(G23&lt;=$B$1,"Cumple","Continuar")</f>
        <v/>
      </c>
    </row>
    <row r="24">
      <c r="A24">
        <f>A23+1</f>
        <v/>
      </c>
      <c r="B24">
        <f>C23</f>
        <v/>
      </c>
      <c r="C24">
        <f>F23</f>
        <v/>
      </c>
      <c r="D24">
        <f>0.5+0.25*B24^2-B24*SIN(B24)-0.5*COS(2*B24)</f>
        <v/>
      </c>
      <c r="E24">
        <f>0.5+0.25*C24^2-C24*SIN(C24)-0.5*COS(2*C24)</f>
        <v/>
      </c>
      <c r="F24">
        <f>IF(E24=D24,C24,C24-E24*(C24-B24)/(E24-D24))</f>
        <v/>
      </c>
      <c r="G24">
        <f>ABS(F24-C24)</f>
        <v/>
      </c>
      <c r="H24">
        <f>IF(G24&lt;=$B$1,"Cumple","Continuar")</f>
        <v/>
      </c>
    </row>
    <row r="25">
      <c r="A25">
        <f>A24+1</f>
        <v/>
      </c>
      <c r="B25">
        <f>C24</f>
        <v/>
      </c>
      <c r="C25">
        <f>F24</f>
        <v/>
      </c>
      <c r="D25">
        <f>0.5+0.25*B25^2-B25*SIN(B25)-0.5*COS(2*B25)</f>
        <v/>
      </c>
      <c r="E25">
        <f>0.5+0.25*C25^2-C25*SIN(C25)-0.5*COS(2*C25)</f>
        <v/>
      </c>
      <c r="F25">
        <f>IF(E25=D25,C25,C25-E25*(C25-B25)/(E25-D25))</f>
        <v/>
      </c>
      <c r="G25">
        <f>ABS(F25-C25)</f>
        <v/>
      </c>
      <c r="H25">
        <f>IF(G25&lt;=$B$1,"Cumple","Continuar")</f>
        <v/>
      </c>
    </row>
    <row r="26">
      <c r="A26">
        <f>A25+1</f>
        <v/>
      </c>
      <c r="B26">
        <f>C25</f>
        <v/>
      </c>
      <c r="C26">
        <f>F25</f>
        <v/>
      </c>
      <c r="D26">
        <f>0.5+0.25*B26^2-B26*SIN(B26)-0.5*COS(2*B26)</f>
        <v/>
      </c>
      <c r="E26">
        <f>0.5+0.25*C26^2-C26*SIN(C26)-0.5*COS(2*C26)</f>
        <v/>
      </c>
      <c r="F26">
        <f>IF(E26=D26,C26,C26-E26*(C26-B26)/(E26-D26))</f>
        <v/>
      </c>
      <c r="G26">
        <f>ABS(F26-C26)</f>
        <v/>
      </c>
      <c r="H26">
        <f>IF(G26&lt;=$B$1,"Cumple","Continuar")</f>
        <v/>
      </c>
    </row>
    <row r="27">
      <c r="A27">
        <f>A26+1</f>
        <v/>
      </c>
      <c r="B27">
        <f>C26</f>
        <v/>
      </c>
      <c r="C27">
        <f>F26</f>
        <v/>
      </c>
      <c r="D27">
        <f>0.5+0.25*B27^2-B27*SIN(B27)-0.5*COS(2*B27)</f>
        <v/>
      </c>
      <c r="E27">
        <f>0.5+0.25*C27^2-C27*SIN(C27)-0.5*COS(2*C27)</f>
        <v/>
      </c>
      <c r="F27">
        <f>IF(E27=D27,C27,C27-E27*(C27-B27)/(E27-D27))</f>
        <v/>
      </c>
      <c r="G27">
        <f>ABS(F27-C27)</f>
        <v/>
      </c>
      <c r="H27">
        <f>IF(G27&lt;=$B$1,"Cumple","Continuar")</f>
        <v/>
      </c>
    </row>
    <row r="28">
      <c r="A28">
        <f>A27+1</f>
        <v/>
      </c>
      <c r="B28">
        <f>C27</f>
        <v/>
      </c>
      <c r="C28">
        <f>F27</f>
        <v/>
      </c>
      <c r="D28">
        <f>0.5+0.25*B28^2-B28*SIN(B28)-0.5*COS(2*B28)</f>
        <v/>
      </c>
      <c r="E28">
        <f>0.5+0.25*C28^2-C28*SIN(C28)-0.5*COS(2*C28)</f>
        <v/>
      </c>
      <c r="F28">
        <f>IF(E28=D28,C28,C28-E28*(C28-B28)/(E28-D28))</f>
        <v/>
      </c>
      <c r="G28">
        <f>ABS(F28-C28)</f>
        <v/>
      </c>
      <c r="H28">
        <f>IF(G28&lt;=$B$1,"Cumple","Continuar")</f>
        <v/>
      </c>
    </row>
    <row r="29">
      <c r="A29">
        <f>A28+1</f>
        <v/>
      </c>
      <c r="B29">
        <f>C28</f>
        <v/>
      </c>
      <c r="C29">
        <f>F28</f>
        <v/>
      </c>
      <c r="D29">
        <f>0.5+0.25*B29^2-B29*SIN(B29)-0.5*COS(2*B29)</f>
        <v/>
      </c>
      <c r="E29">
        <f>0.5+0.25*C29^2-C29*SIN(C29)-0.5*COS(2*C29)</f>
        <v/>
      </c>
      <c r="F29">
        <f>IF(E29=D29,C29,C29-E29*(C29-B29)/(E29-D29))</f>
        <v/>
      </c>
      <c r="G29">
        <f>ABS(F29-C29)</f>
        <v/>
      </c>
      <c r="H29">
        <f>IF(G29&lt;=$B$1,"Cumple","Continuar")</f>
        <v/>
      </c>
    </row>
    <row r="30">
      <c r="A30">
        <f>A29+1</f>
        <v/>
      </c>
      <c r="B30">
        <f>C29</f>
        <v/>
      </c>
      <c r="C30">
        <f>F29</f>
        <v/>
      </c>
      <c r="D30">
        <f>0.5+0.25*B30^2-B30*SIN(B30)-0.5*COS(2*B30)</f>
        <v/>
      </c>
      <c r="E30">
        <f>0.5+0.25*C30^2-C30*SIN(C30)-0.5*COS(2*C30)</f>
        <v/>
      </c>
      <c r="F30">
        <f>IF(E30=D30,C30,C30-E30*(C30-B30)/(E30-D30))</f>
        <v/>
      </c>
      <c r="G30">
        <f>ABS(F30-C30)</f>
        <v/>
      </c>
      <c r="H30">
        <f>IF(G30&lt;=$B$1,"Cumple","Continuar")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Tolerancia</t>
        </is>
      </c>
      <c r="B1" t="n">
        <v>1e-06</v>
      </c>
    </row>
    <row r="5">
      <c r="A5" s="1" t="inlineStr">
        <is>
          <t>Iter</t>
        </is>
      </c>
      <c r="B5" s="1" t="inlineStr">
        <is>
          <t>x_n</t>
        </is>
      </c>
      <c r="C5" s="1" t="inlineStr">
        <is>
          <t>g(x_n)</t>
        </is>
      </c>
      <c r="D5" s="1" t="inlineStr">
        <is>
          <t>Error</t>
        </is>
      </c>
      <c r="E5" s="1" t="inlineStr">
        <is>
          <t>Condicion</t>
        </is>
      </c>
    </row>
    <row r="6">
      <c r="A6" t="n">
        <v>0</v>
      </c>
      <c r="B6" t="n">
        <v>1</v>
      </c>
      <c r="C6">
        <f>SQRT((10-B6^3)/4)</f>
        <v/>
      </c>
      <c r="D6">
        <f>ABS(C6-B6)</f>
        <v/>
      </c>
      <c r="E6">
        <f>IF(D6&lt;=$B$1,"Cumple","Continuar")</f>
        <v/>
      </c>
    </row>
    <row r="7">
      <c r="A7">
        <f>A6+1</f>
        <v/>
      </c>
      <c r="B7">
        <f>C6</f>
        <v/>
      </c>
      <c r="C7">
        <f>SQRT((10-B7^3)/4)</f>
        <v/>
      </c>
      <c r="D7">
        <f>ABS(C7-B7)</f>
        <v/>
      </c>
      <c r="E7">
        <f>IF(D7&lt;=$B$1,"Cumple","Continuar")</f>
        <v/>
      </c>
    </row>
    <row r="8">
      <c r="A8">
        <f>A7+1</f>
        <v/>
      </c>
      <c r="B8">
        <f>C7</f>
        <v/>
      </c>
      <c r="C8">
        <f>SQRT((10-B8^3)/4)</f>
        <v/>
      </c>
      <c r="D8">
        <f>ABS(C8-B8)</f>
        <v/>
      </c>
      <c r="E8">
        <f>IF(D8&lt;=$B$1,"Cumple","Continuar")</f>
        <v/>
      </c>
    </row>
    <row r="9">
      <c r="A9">
        <f>A8+1</f>
        <v/>
      </c>
      <c r="B9">
        <f>C8</f>
        <v/>
      </c>
      <c r="C9">
        <f>SQRT((10-B9^3)/4)</f>
        <v/>
      </c>
      <c r="D9">
        <f>ABS(C9-B9)</f>
        <v/>
      </c>
      <c r="E9">
        <f>IF(D9&lt;=$B$1,"Cumple","Continuar")</f>
        <v/>
      </c>
    </row>
    <row r="10">
      <c r="A10">
        <f>A9+1</f>
        <v/>
      </c>
      <c r="B10">
        <f>C9</f>
        <v/>
      </c>
      <c r="C10">
        <f>SQRT((10-B10^3)/4)</f>
        <v/>
      </c>
      <c r="D10">
        <f>ABS(C10-B10)</f>
        <v/>
      </c>
      <c r="E10">
        <f>IF(D10&lt;=$B$1,"Cumple","Continuar")</f>
        <v/>
      </c>
    </row>
    <row r="11">
      <c r="A11">
        <f>A10+1</f>
        <v/>
      </c>
      <c r="B11">
        <f>C10</f>
        <v/>
      </c>
      <c r="C11">
        <f>SQRT((10-B11^3)/4)</f>
        <v/>
      </c>
      <c r="D11">
        <f>ABS(C11-B11)</f>
        <v/>
      </c>
      <c r="E11">
        <f>IF(D11&lt;=$B$1,"Cumple","Continuar")</f>
        <v/>
      </c>
    </row>
    <row r="12">
      <c r="A12">
        <f>A11+1</f>
        <v/>
      </c>
      <c r="B12">
        <f>C11</f>
        <v/>
      </c>
      <c r="C12">
        <f>SQRT((10-B12^3)/4)</f>
        <v/>
      </c>
      <c r="D12">
        <f>ABS(C12-B12)</f>
        <v/>
      </c>
      <c r="E12">
        <f>IF(D12&lt;=$B$1,"Cumple","Continuar")</f>
        <v/>
      </c>
    </row>
    <row r="13">
      <c r="A13">
        <f>A12+1</f>
        <v/>
      </c>
      <c r="B13">
        <f>C12</f>
        <v/>
      </c>
      <c r="C13">
        <f>SQRT((10-B13^3)/4)</f>
        <v/>
      </c>
      <c r="D13">
        <f>ABS(C13-B13)</f>
        <v/>
      </c>
      <c r="E13">
        <f>IF(D13&lt;=$B$1,"Cumple","Continuar")</f>
        <v/>
      </c>
    </row>
    <row r="14">
      <c r="A14">
        <f>A13+1</f>
        <v/>
      </c>
      <c r="B14">
        <f>C13</f>
        <v/>
      </c>
      <c r="C14">
        <f>SQRT((10-B14^3)/4)</f>
        <v/>
      </c>
      <c r="D14">
        <f>ABS(C14-B14)</f>
        <v/>
      </c>
      <c r="E14">
        <f>IF(D14&lt;=$B$1,"Cumple","Continuar")</f>
        <v/>
      </c>
    </row>
    <row r="15">
      <c r="A15">
        <f>A14+1</f>
        <v/>
      </c>
      <c r="B15">
        <f>C14</f>
        <v/>
      </c>
      <c r="C15">
        <f>SQRT((10-B15^3)/4)</f>
        <v/>
      </c>
      <c r="D15">
        <f>ABS(C15-B15)</f>
        <v/>
      </c>
      <c r="E15">
        <f>IF(D15&lt;=$B$1,"Cumple","Continuar")</f>
        <v/>
      </c>
    </row>
    <row r="16">
      <c r="A16">
        <f>A15+1</f>
        <v/>
      </c>
      <c r="B16">
        <f>C15</f>
        <v/>
      </c>
      <c r="C16">
        <f>SQRT((10-B16^3)/4)</f>
        <v/>
      </c>
      <c r="D16">
        <f>ABS(C16-B16)</f>
        <v/>
      </c>
      <c r="E16">
        <f>IF(D16&lt;=$B$1,"Cumple","Continuar")</f>
        <v/>
      </c>
    </row>
    <row r="17">
      <c r="A17">
        <f>A16+1</f>
        <v/>
      </c>
      <c r="B17">
        <f>C16</f>
        <v/>
      </c>
      <c r="C17">
        <f>SQRT((10-B17^3)/4)</f>
        <v/>
      </c>
      <c r="D17">
        <f>ABS(C17-B17)</f>
        <v/>
      </c>
      <c r="E17">
        <f>IF(D17&lt;=$B$1,"Cumple","Continuar")</f>
        <v/>
      </c>
    </row>
    <row r="18">
      <c r="A18">
        <f>A17+1</f>
        <v/>
      </c>
      <c r="B18">
        <f>C17</f>
        <v/>
      </c>
      <c r="C18">
        <f>SQRT((10-B18^3)/4)</f>
        <v/>
      </c>
      <c r="D18">
        <f>ABS(C18-B18)</f>
        <v/>
      </c>
      <c r="E18">
        <f>IF(D18&lt;=$B$1,"Cumple","Continuar")</f>
        <v/>
      </c>
    </row>
    <row r="19">
      <c r="A19">
        <f>A18+1</f>
        <v/>
      </c>
      <c r="B19">
        <f>C18</f>
        <v/>
      </c>
      <c r="C19">
        <f>SQRT((10-B19^3)/4)</f>
        <v/>
      </c>
      <c r="D19">
        <f>ABS(C19-B19)</f>
        <v/>
      </c>
      <c r="E19">
        <f>IF(D19&lt;=$B$1,"Cumple","Continuar")</f>
        <v/>
      </c>
    </row>
    <row r="20">
      <c r="A20">
        <f>A19+1</f>
        <v/>
      </c>
      <c r="B20">
        <f>C19</f>
        <v/>
      </c>
      <c r="C20">
        <f>SQRT((10-B20^3)/4)</f>
        <v/>
      </c>
      <c r="D20">
        <f>ABS(C20-B20)</f>
        <v/>
      </c>
      <c r="E20">
        <f>IF(D20&lt;=$B$1,"Cumple","Continuar")</f>
        <v/>
      </c>
    </row>
    <row r="21">
      <c r="A21">
        <f>A20+1</f>
        <v/>
      </c>
      <c r="B21">
        <f>C20</f>
        <v/>
      </c>
      <c r="C21">
        <f>SQRT((10-B21^3)/4)</f>
        <v/>
      </c>
      <c r="D21">
        <f>ABS(C21-B21)</f>
        <v/>
      </c>
      <c r="E21">
        <f>IF(D21&lt;=$B$1,"Cumple","Continuar")</f>
        <v/>
      </c>
    </row>
    <row r="22">
      <c r="A22">
        <f>A21+1</f>
        <v/>
      </c>
      <c r="B22">
        <f>C21</f>
        <v/>
      </c>
      <c r="C22">
        <f>SQRT((10-B22^3)/4)</f>
        <v/>
      </c>
      <c r="D22">
        <f>ABS(C22-B22)</f>
        <v/>
      </c>
      <c r="E22">
        <f>IF(D22&lt;=$B$1,"Cumple","Continuar")</f>
        <v/>
      </c>
    </row>
    <row r="23">
      <c r="A23">
        <f>A22+1</f>
        <v/>
      </c>
      <c r="B23">
        <f>C22</f>
        <v/>
      </c>
      <c r="C23">
        <f>SQRT((10-B23^3)/4)</f>
        <v/>
      </c>
      <c r="D23">
        <f>ABS(C23-B23)</f>
        <v/>
      </c>
      <c r="E23">
        <f>IF(D23&lt;=$B$1,"Cumple","Continuar")</f>
        <v/>
      </c>
    </row>
    <row r="24">
      <c r="A24">
        <f>A23+1</f>
        <v/>
      </c>
      <c r="B24">
        <f>C23</f>
        <v/>
      </c>
      <c r="C24">
        <f>SQRT((10-B24^3)/4)</f>
        <v/>
      </c>
      <c r="D24">
        <f>ABS(C24-B24)</f>
        <v/>
      </c>
      <c r="E24">
        <f>IF(D24&lt;=$B$1,"Cumple","Continuar")</f>
        <v/>
      </c>
    </row>
    <row r="25">
      <c r="A25">
        <f>A24+1</f>
        <v/>
      </c>
      <c r="B25">
        <f>C24</f>
        <v/>
      </c>
      <c r="C25">
        <f>SQRT((10-B25^3)/4)</f>
        <v/>
      </c>
      <c r="D25">
        <f>ABS(C25-B25)</f>
        <v/>
      </c>
      <c r="E25">
        <f>IF(D25&lt;=$B$1,"Cumple","Continuar")</f>
        <v/>
      </c>
    </row>
    <row r="26">
      <c r="A26">
        <f>A25+1</f>
        <v/>
      </c>
      <c r="B26">
        <f>C25</f>
        <v/>
      </c>
      <c r="C26">
        <f>SQRT((10-B26^3)/4)</f>
        <v/>
      </c>
      <c r="D26">
        <f>ABS(C26-B26)</f>
        <v/>
      </c>
      <c r="E26">
        <f>IF(D26&lt;=$B$1,"Cumple","Continuar")</f>
        <v/>
      </c>
    </row>
    <row r="27">
      <c r="A27">
        <f>A26+1</f>
        <v/>
      </c>
      <c r="B27">
        <f>C26</f>
        <v/>
      </c>
      <c r="C27">
        <f>SQRT((10-B27^3)/4)</f>
        <v/>
      </c>
      <c r="D27">
        <f>ABS(C27-B27)</f>
        <v/>
      </c>
      <c r="E27">
        <f>IF(D27&lt;=$B$1,"Cumple","Continuar")</f>
        <v/>
      </c>
    </row>
    <row r="28">
      <c r="A28">
        <f>A27+1</f>
        <v/>
      </c>
      <c r="B28">
        <f>C27</f>
        <v/>
      </c>
      <c r="C28">
        <f>SQRT((10-B28^3)/4)</f>
        <v/>
      </c>
      <c r="D28">
        <f>ABS(C28-B28)</f>
        <v/>
      </c>
      <c r="E28">
        <f>IF(D28&lt;=$B$1,"Cumple","Continuar")</f>
        <v/>
      </c>
    </row>
    <row r="29">
      <c r="A29">
        <f>A28+1</f>
        <v/>
      </c>
      <c r="B29">
        <f>C28</f>
        <v/>
      </c>
      <c r="C29">
        <f>SQRT((10-B29^3)/4)</f>
        <v/>
      </c>
      <c r="D29">
        <f>ABS(C29-B29)</f>
        <v/>
      </c>
      <c r="E29">
        <f>IF(D29&lt;=$B$1,"Cumple","Continuar")</f>
        <v/>
      </c>
    </row>
    <row r="30">
      <c r="A30">
        <f>A29+1</f>
        <v/>
      </c>
      <c r="B30">
        <f>C29</f>
        <v/>
      </c>
      <c r="C30">
        <f>SQRT((10-B30^3)/4)</f>
        <v/>
      </c>
      <c r="D30">
        <f>ABS(C30-B30)</f>
        <v/>
      </c>
      <c r="E30">
        <f>IF(D30&lt;=$B$1,"Cumple","Continuar")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2026-02-24T01:53:35Z</dcterms:created>
  <dcterms:modified xsi:type="dcterms:W3CDTF">2026-02-24T01:53:35Z</dcterms:modified>
</cp:coreProperties>
</file>